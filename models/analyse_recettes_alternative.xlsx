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drawings/vmlDrawing3.vml" ContentType="application/vnd.openxmlformats-officedocument.vmlDrawing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A_Arbitrage" sheetId="3" state="visible" r:id="rId5"/>
    <sheet name="A_Redevance" sheetId="4" state="visible" r:id="rId6"/>
    <sheet name="C_Ciblage" sheetId="5" state="visible" r:id="rId7"/>
    <sheet name="D_BiHoraire" sheetId="6" state="visible" r:id="rId8"/>
    <sheet name="Synthè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Sakkanal</author>
  </authors>
  <commentList>
    <comment ref="B3" authorId="0">
      <text>
        <r>
          <rPr>
            <sz val="10"/>
            <rFont val="Arial"/>
            <family val="2"/>
          </rPr>
          <t xml:space="preserve">= L × (p2 − p1) × (1 + τc). Gain maximal en reportant un achat de L kWh au 1er du mois.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Sakkanal</author>
  </authors>
  <commentList>
    <comment ref="B21" authorId="0">
      <text>
        <r>
          <rPr>
            <sz val="10"/>
            <rFont val="Arial"/>
            <family val="2"/>
          </rPr>
          <t xml:space="preserve">Modifiable : choisir p_s au-dessus du niveau neutre transforme une partie de la remise en économie de compensation pour l'État.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Sakkanal</author>
  </authors>
  <commentList>
    <comment ref="C7" authorId="0">
      <text>
        <r>
          <rPr>
            <sz val="10"/>
            <rFont val="Arial"/>
            <family val="2"/>
          </rPr>
          <t xml:space="preserve">Hypothèses en dur documentées : 10 kWh basculés par ménage participant et 30 % de participation — à caler sur une étude de flexibilité résidentielle.</t>
        </r>
      </text>
    </comment>
  </commentList>
</comments>
</file>

<file path=xl/sharedStrings.xml><?xml version="1.0" encoding="utf-8"?>
<sst xmlns="http://schemas.openxmlformats.org/spreadsheetml/2006/main" count="135" uniqueCount="120">
  <si>
    <t xml:space="preserve">Analyse des recettes Senelec — alternative à la tarification Woyofal</t>
  </si>
  <si>
    <t xml:space="preserve">Classeur compagnon du document « Tarification Woyofal : une alternative » (docs/tarification_alternative_woyofal.pdf).</t>
  </si>
  <si>
    <t xml:space="preserve">Il chiffre l'incidence sur les recettes de Senelec des quatre composantes : (A) fenêtre glissante et redevance au</t>
  </si>
  <si>
    <t xml:space="preserve">prorata, (B) multiplicateur de partage, (C) tarif social ciblé, (D) bi-horaire.</t>
  </si>
  <si>
    <t xml:space="preserve">LÉGENDE — cellules à modifier :</t>
  </si>
  <si>
    <t xml:space="preserve">   • Texte BLEU = hypothèse modifiable ; fond JAUNE = hypothèse clé (illustrative, à caler sur les données Senelec).</t>
  </si>
  <si>
    <t xml:space="preserve">   • Texte NOIR = formule (ne pas écraser) ; texte VERT = lien vers une autre feuille.</t>
  </si>
  <si>
    <t xml:space="preserve">SOURCES :</t>
  </si>
  <si>
    <t xml:space="preserve">   • Grille tarifaire : CRSE, décision n°2025-140 du 26/12/2025 (en vigueur au 01/01/2026), catégorie DPP.</t>
  </si>
  <si>
    <t xml:space="preserve">   • Coût de production ~117 F/kWh : déclaration gouvernementale, avril 2025 (Africa Check).</t>
  </si>
  <si>
    <t xml:space="preserve">   • Compensation tarifaire due ~193 Mds F à fin nov. 2025 : Le Soleil / CRSE.</t>
  </si>
  <si>
    <t xml:space="preserve">   • Coût complet κ = 140 F/kWh, α, β, parc : hypothèses ILLUSTRATIVES fournies par l'utilisateur / à caler.</t>
  </si>
  <si>
    <t xml:space="preserve">AVERTISSEMENT : les montants agrégés (Mds F/an) sont des ordres de grandeur pilotés par les hypothèses de la</t>
  </si>
  <si>
    <t xml:space="preserve">feuille Paramètres ; ils n'engagent que le jeu d'hypothèses affiché. Le chiffrage ferme exige les données de</t>
  </si>
  <si>
    <t xml:space="preserve">consommation par compteur de Senelec (distribution des volumes par tranche).</t>
  </si>
  <si>
    <t xml:space="preserve">Paramètres du modèle</t>
  </si>
  <si>
    <t xml:space="preserve">Grille CRSE 2026 (décision n°2025-140, DPP)</t>
  </si>
  <si>
    <t xml:space="preserve">p1 — prix Tranche 1</t>
  </si>
  <si>
    <t xml:space="preserve">F/kWh</t>
  </si>
  <si>
    <t xml:space="preserve">p2 — prix Tranche 2</t>
  </si>
  <si>
    <t xml:space="preserve">p3 — prix Tranche 3 (post-paid)</t>
  </si>
  <si>
    <t xml:space="preserve">L — limite Tranche 1</t>
  </si>
  <si>
    <t xml:space="preserve">kWh/mois</t>
  </si>
  <si>
    <t xml:space="preserve">S — seuil TVA</t>
  </si>
  <si>
    <t xml:space="preserve">Taxe communale (τc)</t>
  </si>
  <si>
    <t xml:space="preserve">TVA (τv)</t>
  </si>
  <si>
    <t xml:space="preserve">R — redevance monophasé</t>
  </si>
  <si>
    <t xml:space="preserve">F/mois</t>
  </si>
  <si>
    <t xml:space="preserve">R — redevance triphasé</t>
  </si>
  <si>
    <t xml:space="preserve">Coûts de fourniture</t>
  </si>
  <si>
    <t xml:space="preserve">κ_prod — coût de production</t>
  </si>
  <si>
    <t xml:space="preserve">Déclaration gouvernementale avril 2025</t>
  </si>
  <si>
    <t xml:space="preserve">κ — coût complet de fourniture</t>
  </si>
  <si>
    <t xml:space="preserve">ILLUSTRATIF : production + réseau + commercialisation</t>
  </si>
  <si>
    <t xml:space="preserve">κ_hp — coût marginal en pointe (fioul)</t>
  </si>
  <si>
    <t xml:space="preserve">ILLUSTRATIF</t>
  </si>
  <si>
    <t xml:space="preserve">κ_hc — coût marginal hors pointe (gaz/solaire)</t>
  </si>
  <si>
    <t xml:space="preserve">Parc et comportements (hypothèses)</t>
  </si>
  <si>
    <t xml:space="preserve">Parc de compteurs Woyofal</t>
  </si>
  <si>
    <t xml:space="preserve">compteurs</t>
  </si>
  <si>
    <t xml:space="preserve">Ordre de grandeur public (&gt;2 M)</t>
  </si>
  <si>
    <t xml:space="preserve">Part des compteurs dépassant L chaque mois</t>
  </si>
  <si>
    <t xml:space="preserve">α — part des volumes T1 allant aux éligibles</t>
  </si>
  <si>
    <t xml:space="preserve">ILLUSTRATIF — pilote le tarif social atteignable</t>
  </si>
  <si>
    <t xml:space="preserve">β — part de la consommation en pointe (19h-23h)</t>
  </si>
  <si>
    <t xml:space="preserve">p̄ — prix uniforme hors bloc social (D)</t>
  </si>
  <si>
    <t xml:space="preserve">σ* — écart bi-horaire coût-reflet (= κ_hp − κ_hc)</t>
  </si>
  <si>
    <t xml:space="preserve">Taux de saturation de la Tranche 1</t>
  </si>
  <si>
    <t xml:space="preserve">Part des capacités T1 (150 kWh × parc) réellement vendues</t>
  </si>
  <si>
    <t xml:space="preserve">Compteurs partagés déclarés (composante B)</t>
  </si>
  <si>
    <t xml:space="preserve">Hypothèse d'adoption</t>
  </si>
  <si>
    <t xml:space="preserve">H moyen des compteurs déclarés</t>
  </si>
  <si>
    <t xml:space="preserve">ménages</t>
  </si>
  <si>
    <t xml:space="preserve">Plafond du rattrapage de redevance</t>
  </si>
  <si>
    <t xml:space="preserve">mois</t>
  </si>
  <si>
    <t xml:space="preserve">Volume T1 annuel V1 (= parc × L × 12 × saturation)</t>
  </si>
  <si>
    <t xml:space="preserve">kWh/an</t>
  </si>
  <si>
    <t xml:space="preserve">(A) Fenêtre glissante — fuite d'arbitrage calendaire refermée</t>
  </si>
  <si>
    <t xml:space="preserve">Borne de gain d'arbitrage par ménage et par mois (Prop. 4) :</t>
  </si>
  <si>
    <t xml:space="preserve">Hypothèse : les « optimisateurs » sont des compteurs dépassant L qui exploitent la frontière au plafond.</t>
  </si>
  <si>
    <t xml:space="preserve">Exposition annuelle selon la part de compteurs optimisateurs</t>
  </si>
  <si>
    <t xml:space="preserve">Part du parc optimisatrice</t>
  </si>
  <si>
    <t xml:space="preserve">Compteurs concernés</t>
  </si>
  <si>
    <t xml:space="preserve">Exposition annuelle (Mds F)</t>
  </si>
  <si>
    <t xml:space="preserve">Lecture : cette recette n'est PAS perdue aujourd'hui (usagers peu informés) — c'est l'exposition vers laquelle</t>
  </si>
  <si>
    <t xml:space="preserve">le statu quo dérive à mesure que les usagers apprennent l'arbitrage. La fenêtre glissante la ramène à zéro.</t>
  </si>
  <si>
    <t xml:space="preserve">(A) Redevance au prorata — montants prélevés selon le scénario</t>
  </si>
  <si>
    <t xml:space="preserve">Scénario (monophasé)</t>
  </si>
  <si>
    <t xml:space="preserve">Régime actuel (calendaire)</t>
  </si>
  <si>
    <t xml:space="preserve">Prorata R·δ/T (plafonné)</t>
  </si>
  <si>
    <t xml:space="preserve">Client régulier — recharges tous les 30 jours</t>
  </si>
  <si>
    <t xml:space="preserve">Frontière de mois — 2e recharge 2 jours après (31 janv. → 2 fév.)</t>
  </si>
  <si>
    <t xml:space="preserve">Retour après 3 mois sans recharge (rattrapage)</t>
  </si>
  <si>
    <t xml:space="preserve">Le prélèvement « frontière » actuel (429 F pour 2 jours de location) figure parmi les anomalies relevées</t>
  </si>
  <si>
    <t xml:space="preserve">par l'enquête CRSE (doubles prélèvements). Le plafond du rattrapage est un curseur commercial (Paramètres!B30).</t>
  </si>
  <si>
    <t xml:space="preserve">(C) Tarif social ciblé — neutralité budgétaire (Thm 3)</t>
  </si>
  <si>
    <t xml:space="preserve">p_s neutre = κ − (κ − p1)/α  en fonction de α</t>
  </si>
  <si>
    <t xml:space="preserve">α</t>
  </si>
  <si>
    <t xml:space="preserve">p_s neutre (F/kWh)</t>
  </si>
  <si>
    <t xml:space="preserve">Facture éligible 100 kWh (F/mois)</t>
  </si>
  <si>
    <t xml:space="preserve">Décomposition annuelle : guichet vs compensation d'État</t>
  </si>
  <si>
    <t xml:space="preserve">p_s choisi (par défaut : le p_s neutre à l'α des Paramètres) :</t>
  </si>
  <si>
    <t xml:space="preserve">Poste (volumes Tranche 1, Mds F/an)</t>
  </si>
  <si>
    <t xml:space="preserve">Avant (grille actuelle)</t>
  </si>
  <si>
    <t xml:space="preserve">Après (ciblage)</t>
  </si>
  <si>
    <t xml:space="preserve">Recette guichet (payée par les clients)</t>
  </si>
  <si>
    <t xml:space="preserve">Compensation d'État (subvention du bloc)</t>
  </si>
  <si>
    <t xml:space="preserve">Total (= κ × V1, invariant)</t>
  </si>
  <si>
    <t xml:space="preserve">Au p_s neutre, guichet et compensation sont inchangés au total : seule l'incidence change (qui est subventionné).</t>
  </si>
  <si>
    <t xml:space="preserve">Monter p_s au-dessus du neutre réduit la compensation (économie d'État) au prix d'une remise moins profonde.</t>
  </si>
  <si>
    <t xml:space="preserve">(D) Bi-horaire — calibrage neutre en recette et gain de bascule</t>
  </si>
  <si>
    <t xml:space="preserve">Prix heures creuses p_hc = p̄ − β·σ*</t>
  </si>
  <si>
    <t xml:space="preserve">Prix heures pleines p_hp = p̄ + (1−β)·σ*</t>
  </si>
  <si>
    <t xml:space="preserve">Vérification neutralité : β·p_hp + (1−β)·p_hc</t>
  </si>
  <si>
    <t xml:space="preserve">La vérification doit redonner p̄ (Paramètres!B25) : recette et facture moyenne inchangées.</t>
  </si>
  <si>
    <t xml:space="preserve">Gain d'une bascule de consommation hors pointe (par ménage)</t>
  </si>
  <si>
    <t xml:space="preserve">kWh basculés / mois</t>
  </si>
  <si>
    <t xml:space="preserve">Économie ménage (σ*·Δq)</t>
  </si>
  <si>
    <t xml:space="preserve">Économie système ((κhp−κhc)·Δq)</t>
  </si>
  <si>
    <t xml:space="preserve">Au calibrage coût-reflet (σ* = κhp − κhc), les deux colonnes coïncident : le signal est auto-financé (Prop. 9c).</t>
  </si>
  <si>
    <t xml:space="preserve">Synthèse — incidence annuelle sur les recettes Senelec</t>
  </si>
  <si>
    <t xml:space="preserve">Composante</t>
  </si>
  <si>
    <t xml:space="preserve">Mécanisme</t>
  </si>
  <si>
    <t xml:space="preserve">Montant annuel (Mds F)</t>
  </si>
  <si>
    <t xml:space="preserve">Nature</t>
  </si>
  <si>
    <t xml:space="preserve">(A) Fenêtre glissante</t>
  </si>
  <si>
    <t xml:space="preserve">Fuite d'arbitrage calendaire refermée (exposition à 5 % d'optimisateurs)</t>
  </si>
  <si>
    <t xml:space="preserve">Gain évité (structurel)</t>
  </si>
  <si>
    <t xml:space="preserve">(B) Multiplicateur de partage</t>
  </si>
  <si>
    <t xml:space="preserve">Borne : 8 378 × (H−1) × compteurs déclarés × 12</t>
  </si>
  <si>
    <t xml:space="preserve">Coût d'équité, borné, absorbable dans α</t>
  </si>
  <si>
    <t xml:space="preserve">(C) Tarif social ciblé (p_s neutre)</t>
  </si>
  <si>
    <t xml:space="preserve">Écart de compensation vs aujourd'hui (0 par construction au p_s neutre)</t>
  </si>
  <si>
    <t xml:space="preserve">Neutre (théorème) ; curseur p_s</t>
  </si>
  <si>
    <t xml:space="preserve">(D) Bi-horaire</t>
  </si>
  <si>
    <t xml:space="preserve">Fioul de pointe évité : 10 kWh basculés/mois × 30 % du parc</t>
  </si>
  <si>
    <t xml:space="preserve">Baisse de coûts, recette inchangée</t>
  </si>
  <si>
    <t xml:space="preserve">Convention de signe : positif = recette préservée/coût évité ; négatif = manque à gagner assumé.</t>
  </si>
  <si>
    <t xml:space="preserve">Le paquet est conçu pour être au pire neutre : le seul poste négatif (B) est borné et se finance dans le</t>
  </si>
  <si>
    <t xml:space="preserve">recalibrage de (C) (les ménages déclarés entrent dans α).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</si>
</sst>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#,##0.0&quot; F&quot;"/>
    <numFmt numFmtId="168" formatCode="#,##0.00&quot; Mds F&quot;"/>
    <numFmt numFmtId="169" formatCode="#,##0&quot; F&quot;"/>
    <numFmt numFmtId="170" formatCode="#,##0.0&quot; Mds F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B4C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D2B4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2B4C"/>
        <bgColor rgb="FF333333"/>
      </patternFill>
    </fill>
    <fill>
      <patternFill patternType="solid">
        <fgColor rgb="FFF1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1F6FB"/>
      <rgbColor rgb="FFCCFFFF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D2B4C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Exposition annuelle à l'arbitrage calendaire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A_Arbitrage!C7</c:f>
              <c:strCache>
                <c:ptCount val="1"/>
                <c:pt idx="0">
                  <c:v>Exposition annuelle (Mds F)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A_Arbitrage!$A$8:$A$18</c:f>
              <c:strCache>
                <c:ptCount val="11"/>
                <c:pt idx="0">
                  <c:v>0,0%</c:v>
                </c:pt>
                <c:pt idx="1">
                  <c:v>1,0%</c:v>
                </c:pt>
                <c:pt idx="2">
                  <c:v>2,0%</c:v>
                </c:pt>
                <c:pt idx="3">
                  <c:v>3,0%</c:v>
                </c:pt>
                <c:pt idx="4">
                  <c:v>4,0%</c:v>
                </c:pt>
                <c:pt idx="5">
                  <c:v>5,0%</c:v>
                </c:pt>
                <c:pt idx="6">
                  <c:v>6,0%</c:v>
                </c:pt>
                <c:pt idx="7">
                  <c:v>7,0%</c:v>
                </c:pt>
                <c:pt idx="8">
                  <c:v>8,0%</c:v>
                </c:pt>
                <c:pt idx="9">
                  <c:v>9,0%</c:v>
                </c:pt>
                <c:pt idx="10">
                  <c:v>10,0%</c:v>
                </c:pt>
              </c:strCache>
            </c:strRef>
          </c:cat>
          <c:val>
            <c:numRef>
              <c:f>A_Arbitrage!$C$8:$C$18</c:f>
              <c:numCache>
                <c:formatCode>#,##0.00" Mds F"</c:formatCode>
                <c:ptCount val="11"/>
                <c:pt idx="0">
                  <c:v>0</c:v>
                </c:pt>
                <c:pt idx="1">
                  <c:v>2.010681</c:v>
                </c:pt>
                <c:pt idx="2">
                  <c:v>4.021362</c:v>
                </c:pt>
                <c:pt idx="3">
                  <c:v>6.032043</c:v>
                </c:pt>
                <c:pt idx="4">
                  <c:v>8.042724</c:v>
                </c:pt>
                <c:pt idx="5">
                  <c:v>10.053405</c:v>
                </c:pt>
                <c:pt idx="6">
                  <c:v>12.064086</c:v>
                </c:pt>
                <c:pt idx="7">
                  <c:v>14.074767</c:v>
                </c:pt>
                <c:pt idx="8">
                  <c:v>16.085448</c:v>
                </c:pt>
                <c:pt idx="9">
                  <c:v>18.096129</c:v>
                </c:pt>
                <c:pt idx="10">
                  <c:v>20.10681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767895"/>
        <c:axId val="8696531"/>
      </c:lineChart>
      <c:catAx>
        <c:axId val="987678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Part du parc optimisatrice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6531"/>
        <c:crosses val="autoZero"/>
        <c:auto val="1"/>
        <c:lblAlgn val="ctr"/>
        <c:lblOffset val="100"/>
        <c:noMultiLvlLbl val="0"/>
      </c:catAx>
      <c:valAx>
        <c:axId val="8696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Mds F / 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Mds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678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Redevance prélevée : calendaire vs prorata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A_Redevance!B3</c:f>
              <c:strCache>
                <c:ptCount val="1"/>
                <c:pt idx="0">
                  <c:v>Régime actuel (calendaire)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A_Redevance!$A$4:$A$6</c:f>
              <c:strCache>
                <c:ptCount val="3"/>
                <c:pt idx="0">
                  <c:v>Client régulier — recharges tous les 30 jours</c:v>
                </c:pt>
                <c:pt idx="1">
                  <c:v>Frontière de mois — 2e recharge 2 jours après (31 janv. → 2 fév.)</c:v>
                </c:pt>
                <c:pt idx="2">
                  <c:v>Retour après 3 mois sans recharge (rattrapage)</c:v>
                </c:pt>
              </c:strCache>
            </c:strRef>
          </c:cat>
          <c:val>
            <c:numRef>
              <c:f>A_Redevance!$B$4:$B$6</c:f>
              <c:numCache>
                <c:formatCode>#,##0.0" F"</c:formatCode>
                <c:ptCount val="3"/>
                <c:pt idx="0">
                  <c:v>429</c:v>
                </c:pt>
                <c:pt idx="1">
                  <c:v>429</c:v>
                </c:pt>
                <c:pt idx="2">
                  <c:v>1287</c:v>
                </c:pt>
              </c:numCache>
            </c:numRef>
          </c:val>
        </c:ser>
        <c:ser>
          <c:idx val="1"/>
          <c:order val="1"/>
          <c:tx>
            <c:strRef>
              <c:f>A_Redevance!C3</c:f>
              <c:strCache>
                <c:ptCount val="1"/>
                <c:pt idx="0">
                  <c:v>Prorata R·δ/T (plafonné)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A_Redevance!$A$4:$A$6</c:f>
              <c:strCache>
                <c:ptCount val="3"/>
                <c:pt idx="0">
                  <c:v>Client régulier — recharges tous les 30 jours</c:v>
                </c:pt>
                <c:pt idx="1">
                  <c:v>Frontière de mois — 2e recharge 2 jours après (31 janv. → 2 fév.)</c:v>
                </c:pt>
                <c:pt idx="2">
                  <c:v>Retour après 3 mois sans recharge (rattrapage)</c:v>
                </c:pt>
              </c:strCache>
            </c:strRef>
          </c:cat>
          <c:val>
            <c:numRef>
              <c:f>A_Redevance!$C$4:$C$6</c:f>
              <c:numCache>
                <c:formatCode>#,##0.0" F"</c:formatCode>
                <c:ptCount val="3"/>
                <c:pt idx="0">
                  <c:v>429</c:v>
                </c:pt>
                <c:pt idx="1">
                  <c:v>28.6</c:v>
                </c:pt>
                <c:pt idx="2">
                  <c:v>858</c:v>
                </c:pt>
              </c:numCache>
            </c:numRef>
          </c:val>
        </c:ser>
        <c:gapWidth val="150"/>
        <c:overlap val="0"/>
        <c:axId val="11471936"/>
        <c:axId val="35971723"/>
      </c:barChart>
      <c:catAx>
        <c:axId val="114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971723"/>
        <c:crosses val="autoZero"/>
        <c:auto val="1"/>
        <c:lblAlgn val="ctr"/>
        <c:lblOffset val="100"/>
        <c:noMultiLvlLbl val="0"/>
      </c:catAx>
      <c:valAx>
        <c:axId val="35971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719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Tarif social atteignable à subvention constante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C_Ciblage!B4</c:f>
              <c:strCache>
                <c:ptCount val="1"/>
                <c:pt idx="0">
                  <c:v>p_s neutre (F/kWh)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C_Ciblage!$A$5:$A$17</c:f>
              <c:strCache>
                <c:ptCount val="13"/>
                <c:pt idx="0">
                  <c:v>42,0%</c:v>
                </c:pt>
                <c:pt idx="1">
                  <c:v>45,0%</c:v>
                </c:pt>
                <c:pt idx="2">
                  <c:v>50,0%</c:v>
                </c:pt>
                <c:pt idx="3">
                  <c:v>55,0%</c:v>
                </c:pt>
                <c:pt idx="4">
                  <c:v>60,0%</c:v>
                </c:pt>
                <c:pt idx="5">
                  <c:v>65,0%</c:v>
                </c:pt>
                <c:pt idx="6">
                  <c:v>70,0%</c:v>
                </c:pt>
                <c:pt idx="7">
                  <c:v>75,0%</c:v>
                </c:pt>
                <c:pt idx="8">
                  <c:v>80,0%</c:v>
                </c:pt>
                <c:pt idx="9">
                  <c:v>85,0%</c:v>
                </c:pt>
                <c:pt idx="10">
                  <c:v>90,0%</c:v>
                </c:pt>
                <c:pt idx="11">
                  <c:v>95,0%</c:v>
                </c:pt>
                <c:pt idx="12">
                  <c:v>100,0%</c:v>
                </c:pt>
              </c:strCache>
            </c:strRef>
          </c:cat>
          <c:val>
            <c:numRef>
              <c:f>C_Ciblage!$B$5:$B$17</c:f>
              <c:numCache>
                <c:formatCode>#,##0.0" F"</c:formatCode>
                <c:ptCount val="13"/>
                <c:pt idx="0">
                  <c:v>1.9047619047619</c:v>
                </c:pt>
                <c:pt idx="1">
                  <c:v>11.1111111111111</c:v>
                </c:pt>
                <c:pt idx="2">
                  <c:v>24</c:v>
                </c:pt>
                <c:pt idx="3">
                  <c:v>34.5454545454546</c:v>
                </c:pt>
                <c:pt idx="4">
                  <c:v>43.3333333333333</c:v>
                </c:pt>
                <c:pt idx="5">
                  <c:v>50.7692307692308</c:v>
                </c:pt>
                <c:pt idx="6">
                  <c:v>57.1428571428571</c:v>
                </c:pt>
                <c:pt idx="7">
                  <c:v>62.6666666666667</c:v>
                </c:pt>
                <c:pt idx="8">
                  <c:v>67.5</c:v>
                </c:pt>
                <c:pt idx="9">
                  <c:v>71.7647058823529</c:v>
                </c:pt>
                <c:pt idx="10">
                  <c:v>75.5555555555556</c:v>
                </c:pt>
                <c:pt idx="11">
                  <c:v>78.9473684210526</c:v>
                </c:pt>
                <c:pt idx="12">
                  <c:v>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862055"/>
        <c:axId val="5220415"/>
      </c:lineChart>
      <c:catAx>
        <c:axId val="28862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α (part des volumes T1 aux éligibles)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0415"/>
        <c:crosses val="autoZero"/>
        <c:auto val="1"/>
        <c:lblAlgn val="ctr"/>
        <c:lblOffset val="100"/>
        <c:noMultiLvlLbl val="0"/>
      </c:catAx>
      <c:valAx>
        <c:axId val="5220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p_s (F/kWh)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8620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Volumes Tranche 1 : qui paie quoi (Mds F/an)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C_Ciblage!B23</c:f>
              <c:strCache>
                <c:ptCount val="1"/>
                <c:pt idx="0">
                  <c:v>Avant (grille actuelle)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C_Ciblage!$A$24:$A$25</c:f>
              <c:strCache>
                <c:ptCount val="2"/>
                <c:pt idx="0">
                  <c:v>Recette guichet (payée par les clients)</c:v>
                </c:pt>
                <c:pt idx="1">
                  <c:v>Compensation d'État (subvention du bloc)</c:v>
                </c:pt>
              </c:strCache>
            </c:strRef>
          </c:cat>
          <c:val>
            <c:numRef>
              <c:f>C_Ciblage!$B$24:$B$25</c:f>
              <c:numCache>
                <c:formatCode>#,##0.0" Mds F"</c:formatCode>
                <c:ptCount val="2"/>
                <c:pt idx="0">
                  <c:v>206.64</c:v>
                </c:pt>
                <c:pt idx="1">
                  <c:v>146.16</c:v>
                </c:pt>
              </c:numCache>
            </c:numRef>
          </c:val>
        </c:ser>
        <c:ser>
          <c:idx val="1"/>
          <c:order val="1"/>
          <c:tx>
            <c:strRef>
              <c:f>C_Ciblage!C23</c:f>
              <c:strCache>
                <c:ptCount val="1"/>
                <c:pt idx="0">
                  <c:v>Après (ciblage)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C_Ciblage!$A$24:$A$25</c:f>
              <c:strCache>
                <c:ptCount val="2"/>
                <c:pt idx="0">
                  <c:v>Recette guichet (payée par les clients)</c:v>
                </c:pt>
                <c:pt idx="1">
                  <c:v>Compensation d'État (subvention du bloc)</c:v>
                </c:pt>
              </c:strCache>
            </c:strRef>
          </c:cat>
          <c:val>
            <c:numRef>
              <c:f>C_Ciblage!$C$24:$C$25</c:f>
              <c:numCache>
                <c:formatCode>#,##0.0" Mds F"</c:formatCode>
                <c:ptCount val="2"/>
                <c:pt idx="0">
                  <c:v>206.64</c:v>
                </c:pt>
                <c:pt idx="1">
                  <c:v>146.16</c:v>
                </c:pt>
              </c:numCache>
            </c:numRef>
          </c:val>
        </c:ser>
        <c:gapWidth val="150"/>
        <c:overlap val="100"/>
        <c:axId val="41240401"/>
        <c:axId val="32139840"/>
      </c:barChart>
      <c:catAx>
        <c:axId val="41240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39840"/>
        <c:crosses val="autoZero"/>
        <c:auto val="1"/>
        <c:lblAlgn val="ctr"/>
        <c:lblOffset val="100"/>
        <c:noMultiLvlLbl val="0"/>
      </c:catAx>
      <c:valAx>
        <c:axId val="32139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&quot; Mds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2404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Bascule hors pointe : ménage vs système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D_BiHoraire!B9</c:f>
              <c:strCache>
                <c:ptCount val="1"/>
                <c:pt idx="0">
                  <c:v>Économie ménage (σ*·Δq)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D_BiHoraire!$A$10:$A$20</c:f>
              <c:strCach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strCache>
            </c:strRef>
          </c:cat>
          <c:val>
            <c:numRef>
              <c:f>D_BiHoraire!$B$10:$B$20</c:f>
              <c:numCache>
                <c:formatCode>#,##0" F"</c:formatCode>
                <c:ptCount val="11"/>
                <c:pt idx="0">
                  <c:v>0</c:v>
                </c:pt>
                <c:pt idx="1">
                  <c:v>350</c:v>
                </c:pt>
                <c:pt idx="2">
                  <c:v>700</c:v>
                </c:pt>
                <c:pt idx="3">
                  <c:v>1050</c:v>
                </c:pt>
                <c:pt idx="4">
                  <c:v>1400</c:v>
                </c:pt>
                <c:pt idx="5">
                  <c:v>1750</c:v>
                </c:pt>
                <c:pt idx="6">
                  <c:v>2100</c:v>
                </c:pt>
                <c:pt idx="7">
                  <c:v>2450</c:v>
                </c:pt>
                <c:pt idx="8">
                  <c:v>2800</c:v>
                </c:pt>
                <c:pt idx="9">
                  <c:v>3150</c:v>
                </c:pt>
                <c:pt idx="10">
                  <c:v>3500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D_BiHoraire!C9</c:f>
              <c:strCache>
                <c:ptCount val="1"/>
                <c:pt idx="0">
                  <c:v>Économie système ((κhp−κhc)·Δq)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D_BiHoraire!$A$10:$A$20</c:f>
              <c:strCach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strCache>
            </c:strRef>
          </c:cat>
          <c:val>
            <c:numRef>
              <c:f>D_BiHoraire!$C$10:$C$20</c:f>
              <c:numCache>
                <c:formatCode>#,##0" F"</c:formatCode>
                <c:ptCount val="11"/>
                <c:pt idx="0">
                  <c:v>0</c:v>
                </c:pt>
                <c:pt idx="1">
                  <c:v>350</c:v>
                </c:pt>
                <c:pt idx="2">
                  <c:v>700</c:v>
                </c:pt>
                <c:pt idx="3">
                  <c:v>1050</c:v>
                </c:pt>
                <c:pt idx="4">
                  <c:v>1400</c:v>
                </c:pt>
                <c:pt idx="5">
                  <c:v>1750</c:v>
                </c:pt>
                <c:pt idx="6">
                  <c:v>2100</c:v>
                </c:pt>
                <c:pt idx="7">
                  <c:v>2450</c:v>
                </c:pt>
                <c:pt idx="8">
                  <c:v>2800</c:v>
                </c:pt>
                <c:pt idx="9">
                  <c:v>3150</c:v>
                </c:pt>
                <c:pt idx="10">
                  <c:v>3500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66178"/>
        <c:axId val="48624418"/>
      </c:lineChart>
      <c:catAx>
        <c:axId val="7466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kWh basculés / 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24418"/>
        <c:crosses val="autoZero"/>
        <c:auto val="1"/>
        <c:lblAlgn val="ctr"/>
        <c:lblOffset val="100"/>
        <c:noMultiLvlLbl val="0"/>
      </c:catAx>
      <c:valAx>
        <c:axId val="48624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 / 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661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Incidence annuelle par composante (Mds 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Synthèse!C3</c:f>
              <c:strCache>
                <c:ptCount val="1"/>
                <c:pt idx="0">
                  <c:v>Montant annuel (Mds F)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Synthèse!$A$4:$A$7</c:f>
              <c:strCache>
                <c:ptCount val="4"/>
                <c:pt idx="0">
                  <c:v>(A) Fenêtre glissante</c:v>
                </c:pt>
                <c:pt idx="1">
                  <c:v>(B) Multiplicateur de partage</c:v>
                </c:pt>
                <c:pt idx="2">
                  <c:v>(C) Tarif social ciblé (p_s neutre)</c:v>
                </c:pt>
                <c:pt idx="3">
                  <c:v>(D) Bi-horaire</c:v>
                </c:pt>
              </c:strCache>
            </c:strRef>
          </c:cat>
          <c:val>
            <c:numRef>
              <c:f>Synthèse!$C$4:$C$7</c:f>
              <c:numCache>
                <c:formatCode>#,##0.00" Mds F"</c:formatCode>
                <c:ptCount val="4"/>
                <c:pt idx="0">
                  <c:v>10.053405</c:v>
                </c:pt>
                <c:pt idx="1">
                  <c:v>-20.10681</c:v>
                </c:pt>
                <c:pt idx="2">
                  <c:v>0</c:v>
                </c:pt>
                <c:pt idx="3">
                  <c:v>5.04</c:v>
                </c:pt>
              </c:numCache>
            </c:numRef>
          </c:val>
        </c:ser>
        <c:gapWidth val="150"/>
        <c:overlap val="0"/>
        <c:axId val="51512220"/>
        <c:axId val="38823209"/>
      </c:barChart>
      <c:catAx>
        <c:axId val="51512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823209"/>
        <c:crosses val="autoZero"/>
        <c:auto val="1"/>
        <c:lblAlgn val="ctr"/>
        <c:lblOffset val="100"/>
        <c:noMultiLvlLbl val="0"/>
      </c:catAx>
      <c:valAx>
        <c:axId val="38823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Mds F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5122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13</xdr:col>
      <xdr:colOff>255960</xdr:colOff>
      <xdr:row>20</xdr:row>
      <xdr:rowOff>90000</xdr:rowOff>
    </xdr:to>
    <xdr:graphicFrame>
      <xdr:nvGraphicFramePr>
        <xdr:cNvPr id="1" name="Chart 1"/>
        <xdr:cNvGraphicFramePr/>
      </xdr:nvGraphicFramePr>
      <xdr:xfrm>
        <a:off x="6766560" y="9824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2</xdr:col>
      <xdr:colOff>684720</xdr:colOff>
      <xdr:row>26</xdr:row>
      <xdr:rowOff>11880</xdr:rowOff>
    </xdr:to>
    <xdr:graphicFrame>
      <xdr:nvGraphicFramePr>
        <xdr:cNvPr id="2" name="Chart 1"/>
        <xdr:cNvGraphicFramePr/>
      </xdr:nvGraphicFramePr>
      <xdr:xfrm>
        <a:off x="0" y="20473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7</xdr:col>
      <xdr:colOff>277200</xdr:colOff>
      <xdr:row>18</xdr:row>
      <xdr:rowOff>89640</xdr:rowOff>
    </xdr:to>
    <xdr:graphicFrame>
      <xdr:nvGraphicFramePr>
        <xdr:cNvPr id="3" name="Chart 1"/>
        <xdr:cNvGraphicFramePr/>
      </xdr:nvGraphicFramePr>
      <xdr:xfrm>
        <a:off x="4511160" y="6012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7</xdr:col>
      <xdr:colOff>277200</xdr:colOff>
      <xdr:row>33</xdr:row>
      <xdr:rowOff>137880</xdr:rowOff>
    </xdr:to>
    <xdr:graphicFrame>
      <xdr:nvGraphicFramePr>
        <xdr:cNvPr id="4" name="Chart 2"/>
        <xdr:cNvGraphicFramePr/>
      </xdr:nvGraphicFramePr>
      <xdr:xfrm>
        <a:off x="4511160" y="37616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12</xdr:col>
      <xdr:colOff>507600</xdr:colOff>
      <xdr:row>22</xdr:row>
      <xdr:rowOff>89640</xdr:rowOff>
    </xdr:to>
    <xdr:graphicFrame>
      <xdr:nvGraphicFramePr>
        <xdr:cNvPr id="5" name="Chart 1"/>
        <xdr:cNvGraphicFramePr/>
      </xdr:nvGraphicFramePr>
      <xdr:xfrm>
        <a:off x="6766560" y="13633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2</xdr:col>
      <xdr:colOff>621720</xdr:colOff>
      <xdr:row>29</xdr:row>
      <xdr:rowOff>1080</xdr:rowOff>
    </xdr:to>
    <xdr:graphicFrame>
      <xdr:nvGraphicFramePr>
        <xdr:cNvPr id="6" name="Chart 1"/>
        <xdr:cNvGraphicFramePr/>
      </xdr:nvGraphicFramePr>
      <xdr:xfrm>
        <a:off x="0" y="24282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4" t="s">
        <v>16</v>
      </c>
    </row>
    <row r="4" customFormat="false" ht="15" hidden="false" customHeight="false" outlineLevel="0" collapsed="false">
      <c r="A4" s="2" t="s">
        <v>17</v>
      </c>
      <c r="B4" s="5" t="n">
        <v>82</v>
      </c>
      <c r="C4" s="3" t="s">
        <v>18</v>
      </c>
    </row>
    <row r="5" customFormat="false" ht="15" hidden="false" customHeight="false" outlineLevel="0" collapsed="false">
      <c r="A5" s="2" t="s">
        <v>19</v>
      </c>
      <c r="B5" s="5" t="n">
        <v>136.49</v>
      </c>
      <c r="C5" s="3" t="s">
        <v>18</v>
      </c>
    </row>
    <row r="6" customFormat="false" ht="15" hidden="false" customHeight="false" outlineLevel="0" collapsed="false">
      <c r="A6" s="2" t="s">
        <v>20</v>
      </c>
      <c r="B6" s="5" t="n">
        <v>159.36</v>
      </c>
      <c r="C6" s="3" t="s">
        <v>18</v>
      </c>
    </row>
    <row r="7" customFormat="false" ht="15" hidden="false" customHeight="false" outlineLevel="0" collapsed="false">
      <c r="A7" s="2" t="s">
        <v>21</v>
      </c>
      <c r="B7" s="5" t="n">
        <v>150</v>
      </c>
      <c r="C7" s="3" t="s">
        <v>22</v>
      </c>
    </row>
    <row r="8" customFormat="false" ht="15" hidden="false" customHeight="false" outlineLevel="0" collapsed="false">
      <c r="A8" s="2" t="s">
        <v>23</v>
      </c>
      <c r="B8" s="5" t="n">
        <v>250</v>
      </c>
      <c r="C8" s="3" t="s">
        <v>22</v>
      </c>
    </row>
    <row r="9" customFormat="false" ht="15" hidden="false" customHeight="false" outlineLevel="0" collapsed="false">
      <c r="A9" s="2" t="s">
        <v>24</v>
      </c>
      <c r="B9" s="6" t="n">
        <v>0.025</v>
      </c>
      <c r="C9" s="3"/>
    </row>
    <row r="10" customFormat="false" ht="15" hidden="false" customHeight="false" outlineLevel="0" collapsed="false">
      <c r="A10" s="2" t="s">
        <v>25</v>
      </c>
      <c r="B10" s="6" t="n">
        <v>0.18</v>
      </c>
      <c r="C10" s="3"/>
    </row>
    <row r="11" customFormat="false" ht="15" hidden="false" customHeight="false" outlineLevel="0" collapsed="false">
      <c r="A11" s="2" t="s">
        <v>26</v>
      </c>
      <c r="B11" s="5" t="n">
        <v>429</v>
      </c>
      <c r="C11" s="3" t="s">
        <v>27</v>
      </c>
    </row>
    <row r="12" customFormat="false" ht="15" hidden="false" customHeight="false" outlineLevel="0" collapsed="false">
      <c r="A12" s="2" t="s">
        <v>28</v>
      </c>
      <c r="B12" s="5" t="n">
        <v>1427</v>
      </c>
      <c r="C12" s="3" t="s">
        <v>27</v>
      </c>
    </row>
    <row r="14" customFormat="false" ht="15" hidden="false" customHeight="false" outlineLevel="0" collapsed="false">
      <c r="A14" s="4" t="s">
        <v>29</v>
      </c>
    </row>
    <row r="15" customFormat="false" ht="15" hidden="false" customHeight="false" outlineLevel="0" collapsed="false">
      <c r="A15" s="2" t="s">
        <v>30</v>
      </c>
      <c r="B15" s="5" t="n">
        <v>117</v>
      </c>
      <c r="C15" s="3" t="s">
        <v>18</v>
      </c>
      <c r="D15" s="3" t="s">
        <v>31</v>
      </c>
    </row>
    <row r="16" customFormat="false" ht="15" hidden="false" customHeight="false" outlineLevel="0" collapsed="false">
      <c r="A16" s="2" t="s">
        <v>32</v>
      </c>
      <c r="B16" s="7" t="n">
        <v>140</v>
      </c>
      <c r="C16" s="3" t="s">
        <v>18</v>
      </c>
      <c r="D16" s="3" t="s">
        <v>33</v>
      </c>
    </row>
    <row r="17" customFormat="false" ht="15" hidden="false" customHeight="false" outlineLevel="0" collapsed="false">
      <c r="A17" s="2" t="s">
        <v>34</v>
      </c>
      <c r="B17" s="7" t="n">
        <v>160</v>
      </c>
      <c r="C17" s="3" t="s">
        <v>18</v>
      </c>
      <c r="D17" s="3" t="s">
        <v>35</v>
      </c>
    </row>
    <row r="18" customFormat="false" ht="15" hidden="false" customHeight="false" outlineLevel="0" collapsed="false">
      <c r="A18" s="2" t="s">
        <v>36</v>
      </c>
      <c r="B18" s="7" t="n">
        <v>90</v>
      </c>
      <c r="C18" s="3" t="s">
        <v>18</v>
      </c>
      <c r="D18" s="3" t="s">
        <v>35</v>
      </c>
    </row>
    <row r="20" customFormat="false" ht="15" hidden="false" customHeight="false" outlineLevel="0" collapsed="false">
      <c r="A20" s="4" t="s">
        <v>37</v>
      </c>
    </row>
    <row r="21" customFormat="false" ht="15" hidden="false" customHeight="false" outlineLevel="0" collapsed="false">
      <c r="A21" s="2" t="s">
        <v>38</v>
      </c>
      <c r="B21" s="8" t="n">
        <v>2000000</v>
      </c>
      <c r="C21" s="3" t="s">
        <v>39</v>
      </c>
      <c r="D21" s="3" t="s">
        <v>40</v>
      </c>
    </row>
    <row r="22" customFormat="false" ht="15" hidden="false" customHeight="false" outlineLevel="0" collapsed="false">
      <c r="A22" s="2" t="s">
        <v>41</v>
      </c>
      <c r="B22" s="9" t="n">
        <v>0.35</v>
      </c>
      <c r="C22" s="3"/>
      <c r="D22" s="3" t="s">
        <v>35</v>
      </c>
    </row>
    <row r="23" customFormat="false" ht="15" hidden="false" customHeight="false" outlineLevel="0" collapsed="false">
      <c r="A23" s="2" t="s">
        <v>42</v>
      </c>
      <c r="B23" s="9" t="n">
        <v>0.5</v>
      </c>
      <c r="C23" s="3"/>
      <c r="D23" s="3" t="s">
        <v>43</v>
      </c>
    </row>
    <row r="24" customFormat="false" ht="15" hidden="false" customHeight="false" outlineLevel="0" collapsed="false">
      <c r="A24" s="2" t="s">
        <v>44</v>
      </c>
      <c r="B24" s="9" t="n">
        <v>0.35</v>
      </c>
      <c r="C24" s="3"/>
      <c r="D24" s="3" t="s">
        <v>35</v>
      </c>
    </row>
    <row r="25" customFormat="false" ht="15" hidden="false" customHeight="false" outlineLevel="0" collapsed="false">
      <c r="A25" s="2" t="s">
        <v>45</v>
      </c>
      <c r="B25" s="5" t="n">
        <v>110</v>
      </c>
      <c r="C25" s="3" t="s">
        <v>18</v>
      </c>
      <c r="D25" s="3" t="s">
        <v>35</v>
      </c>
    </row>
    <row r="26" customFormat="false" ht="15" hidden="false" customHeight="false" outlineLevel="0" collapsed="false">
      <c r="A26" s="2" t="s">
        <v>46</v>
      </c>
      <c r="B26" s="10" t="n">
        <f aca="false">B17-B18</f>
        <v>70</v>
      </c>
      <c r="C26" s="3" t="s">
        <v>18</v>
      </c>
    </row>
    <row r="27" customFormat="false" ht="15" hidden="false" customHeight="false" outlineLevel="0" collapsed="false">
      <c r="A27" s="2" t="s">
        <v>47</v>
      </c>
      <c r="B27" s="9" t="n">
        <v>0.7</v>
      </c>
      <c r="C27" s="3"/>
      <c r="D27" s="3" t="s">
        <v>48</v>
      </c>
    </row>
    <row r="28" customFormat="false" ht="15" hidden="false" customHeight="false" outlineLevel="0" collapsed="false">
      <c r="A28" s="2" t="s">
        <v>49</v>
      </c>
      <c r="B28" s="11" t="n">
        <v>100000</v>
      </c>
      <c r="C28" s="3" t="s">
        <v>39</v>
      </c>
      <c r="D28" s="3" t="s">
        <v>50</v>
      </c>
    </row>
    <row r="29" customFormat="false" ht="15" hidden="false" customHeight="false" outlineLevel="0" collapsed="false">
      <c r="A29" s="2" t="s">
        <v>51</v>
      </c>
      <c r="B29" s="5" t="n">
        <v>3</v>
      </c>
      <c r="C29" s="3" t="s">
        <v>52</v>
      </c>
    </row>
    <row r="30" customFormat="false" ht="15" hidden="false" customHeight="false" outlineLevel="0" collapsed="false">
      <c r="A30" s="2" t="s">
        <v>53</v>
      </c>
      <c r="B30" s="5" t="n">
        <v>2</v>
      </c>
      <c r="C30" s="3" t="s">
        <v>54</v>
      </c>
    </row>
    <row r="31" customFormat="false" ht="15" hidden="false" customHeight="false" outlineLevel="0" collapsed="false">
      <c r="A31" s="2" t="s">
        <v>55</v>
      </c>
      <c r="B31" s="12" t="n">
        <f aca="false">B21*B7*12*B27</f>
        <v>2520000000</v>
      </c>
      <c r="C31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2" t="s">
        <v>58</v>
      </c>
      <c r="B3" s="13" t="n">
        <f aca="false">Paramètres!B7*(Paramètres!B5-Paramètres!B4)*(1+Paramètres!B9)</f>
        <v>8377.8375</v>
      </c>
    </row>
    <row r="4" customFormat="false" ht="15" hidden="false" customHeight="false" outlineLevel="0" collapsed="false">
      <c r="A4" s="3" t="s">
        <v>59</v>
      </c>
    </row>
    <row r="6" customFormat="false" ht="15" hidden="false" customHeight="false" outlineLevel="0" collapsed="false">
      <c r="A6" s="4" t="s">
        <v>60</v>
      </c>
    </row>
    <row r="7" customFormat="false" ht="23.85" hidden="false" customHeight="false" outlineLevel="0" collapsed="false">
      <c r="A7" s="14" t="s">
        <v>61</v>
      </c>
      <c r="B7" s="14" t="s">
        <v>62</v>
      </c>
      <c r="C7" s="14" t="s">
        <v>63</v>
      </c>
    </row>
    <row r="8" customFormat="false" ht="15" hidden="false" customHeight="false" outlineLevel="0" collapsed="false">
      <c r="A8" s="6" t="n">
        <v>0</v>
      </c>
      <c r="B8" s="12" t="n">
        <f aca="false">A8*Paramètres!B21</f>
        <v>0</v>
      </c>
      <c r="C8" s="15" t="n">
        <f aca="false">B8*$B$3*12/1000000000</f>
        <v>0</v>
      </c>
    </row>
    <row r="9" customFormat="false" ht="15" hidden="false" customHeight="false" outlineLevel="0" collapsed="false">
      <c r="A9" s="16" t="n">
        <v>0.01</v>
      </c>
      <c r="B9" s="17" t="n">
        <f aca="false">A9*Paramètres!B21</f>
        <v>20000</v>
      </c>
      <c r="C9" s="18" t="n">
        <f aca="false">B9*$B$3*12/1000000000</f>
        <v>2.010681</v>
      </c>
    </row>
    <row r="10" customFormat="false" ht="15" hidden="false" customHeight="false" outlineLevel="0" collapsed="false">
      <c r="A10" s="6" t="n">
        <v>0.02</v>
      </c>
      <c r="B10" s="12" t="n">
        <f aca="false">A10*Paramètres!B21</f>
        <v>40000</v>
      </c>
      <c r="C10" s="15" t="n">
        <f aca="false">B10*$B$3*12/1000000000</f>
        <v>4.021362</v>
      </c>
    </row>
    <row r="11" customFormat="false" ht="15" hidden="false" customHeight="false" outlineLevel="0" collapsed="false">
      <c r="A11" s="16" t="n">
        <v>0.03</v>
      </c>
      <c r="B11" s="17" t="n">
        <f aca="false">A11*Paramètres!B21</f>
        <v>60000</v>
      </c>
      <c r="C11" s="18" t="n">
        <f aca="false">B11*$B$3*12/1000000000</f>
        <v>6.032043</v>
      </c>
    </row>
    <row r="12" customFormat="false" ht="15" hidden="false" customHeight="false" outlineLevel="0" collapsed="false">
      <c r="A12" s="6" t="n">
        <v>0.04</v>
      </c>
      <c r="B12" s="12" t="n">
        <f aca="false">A12*Paramètres!B21</f>
        <v>80000</v>
      </c>
      <c r="C12" s="15" t="n">
        <f aca="false">B12*$B$3*12/1000000000</f>
        <v>8.042724</v>
      </c>
    </row>
    <row r="13" customFormat="false" ht="15" hidden="false" customHeight="false" outlineLevel="0" collapsed="false">
      <c r="A13" s="16" t="n">
        <v>0.05</v>
      </c>
      <c r="B13" s="17" t="n">
        <f aca="false">A13*Paramètres!B21</f>
        <v>100000</v>
      </c>
      <c r="C13" s="18" t="n">
        <f aca="false">B13*$B$3*12/1000000000</f>
        <v>10.053405</v>
      </c>
    </row>
    <row r="14" customFormat="false" ht="15" hidden="false" customHeight="false" outlineLevel="0" collapsed="false">
      <c r="A14" s="6" t="n">
        <v>0.06</v>
      </c>
      <c r="B14" s="12" t="n">
        <f aca="false">A14*Paramètres!B21</f>
        <v>120000</v>
      </c>
      <c r="C14" s="15" t="n">
        <f aca="false">B14*$B$3*12/1000000000</f>
        <v>12.064086</v>
      </c>
    </row>
    <row r="15" customFormat="false" ht="15" hidden="false" customHeight="false" outlineLevel="0" collapsed="false">
      <c r="A15" s="16" t="n">
        <v>0.07</v>
      </c>
      <c r="B15" s="17" t="n">
        <f aca="false">A15*Paramètres!B21</f>
        <v>140000</v>
      </c>
      <c r="C15" s="18" t="n">
        <f aca="false">B15*$B$3*12/1000000000</f>
        <v>14.074767</v>
      </c>
    </row>
    <row r="16" customFormat="false" ht="15" hidden="false" customHeight="false" outlineLevel="0" collapsed="false">
      <c r="A16" s="6" t="n">
        <v>0.08</v>
      </c>
      <c r="B16" s="12" t="n">
        <f aca="false">A16*Paramètres!B21</f>
        <v>160000</v>
      </c>
      <c r="C16" s="15" t="n">
        <f aca="false">B16*$B$3*12/1000000000</f>
        <v>16.085448</v>
      </c>
    </row>
    <row r="17" customFormat="false" ht="15" hidden="false" customHeight="false" outlineLevel="0" collapsed="false">
      <c r="A17" s="16" t="n">
        <v>0.09</v>
      </c>
      <c r="B17" s="17" t="n">
        <f aca="false">A17*Paramètres!B21</f>
        <v>180000</v>
      </c>
      <c r="C17" s="18" t="n">
        <f aca="false">B17*$B$3*12/1000000000</f>
        <v>18.096129</v>
      </c>
    </row>
    <row r="18" customFormat="false" ht="15" hidden="false" customHeight="false" outlineLevel="0" collapsed="false">
      <c r="A18" s="6" t="n">
        <v>0.1</v>
      </c>
      <c r="B18" s="12" t="n">
        <f aca="false">A18*Paramètres!B21</f>
        <v>200000</v>
      </c>
      <c r="C18" s="15" t="n">
        <f aca="false">B18*$B$3*12/1000000000</f>
        <v>20.10681</v>
      </c>
    </row>
    <row r="20" customFormat="false" ht="15" hidden="false" customHeight="false" outlineLevel="0" collapsed="false">
      <c r="A20" s="3" t="s">
        <v>64</v>
      </c>
    </row>
    <row r="21" customFormat="false" ht="15" hidden="false" customHeight="false" outlineLevel="0" collapsed="false">
      <c r="A21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66</v>
      </c>
    </row>
    <row r="3" customFormat="false" ht="23.85" hidden="false" customHeight="false" outlineLevel="0" collapsed="false">
      <c r="A3" s="14" t="s">
        <v>67</v>
      </c>
      <c r="B3" s="14" t="s">
        <v>68</v>
      </c>
      <c r="C3" s="14" t="s">
        <v>69</v>
      </c>
    </row>
    <row r="4" customFormat="false" ht="15" hidden="false" customHeight="false" outlineLevel="0" collapsed="false">
      <c r="A4" s="2" t="s">
        <v>70</v>
      </c>
      <c r="B4" s="19" t="n">
        <f aca="false">Paramètres!B11</f>
        <v>429</v>
      </c>
      <c r="C4" s="19" t="n">
        <f aca="false">Paramètres!B11*30/30</f>
        <v>429</v>
      </c>
    </row>
    <row r="5" customFormat="false" ht="15" hidden="false" customHeight="false" outlineLevel="0" collapsed="false">
      <c r="A5" s="2" t="s">
        <v>71</v>
      </c>
      <c r="B5" s="19" t="n">
        <f aca="false">Paramètres!B11</f>
        <v>429</v>
      </c>
      <c r="C5" s="19" t="n">
        <f aca="false">Paramètres!B11*2/30</f>
        <v>28.6</v>
      </c>
    </row>
    <row r="6" customFormat="false" ht="15" hidden="false" customHeight="false" outlineLevel="0" collapsed="false">
      <c r="A6" s="2" t="s">
        <v>72</v>
      </c>
      <c r="B6" s="19" t="n">
        <f aca="false">3*Paramètres!B11</f>
        <v>1287</v>
      </c>
      <c r="C6" s="19" t="n">
        <f aca="false">Paramètres!B11*MIN(3,Paramètres!B30)</f>
        <v>858</v>
      </c>
    </row>
    <row r="8" customFormat="false" ht="15" hidden="false" customHeight="false" outlineLevel="0" collapsed="false">
      <c r="A8" s="3" t="s">
        <v>73</v>
      </c>
    </row>
    <row r="9" customFormat="false" ht="15" hidden="false" customHeight="false" outlineLevel="0" collapsed="false">
      <c r="A9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4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4" t="s">
        <v>76</v>
      </c>
    </row>
    <row r="4" customFormat="false" ht="23.85" hidden="false" customHeight="false" outlineLevel="0" collapsed="false">
      <c r="A4" s="14" t="s">
        <v>77</v>
      </c>
      <c r="B4" s="14" t="s">
        <v>78</v>
      </c>
      <c r="C4" s="14" t="s">
        <v>79</v>
      </c>
    </row>
    <row r="5" customFormat="false" ht="15" hidden="false" customHeight="false" outlineLevel="0" collapsed="false">
      <c r="A5" s="6" t="n">
        <v>0.42</v>
      </c>
      <c r="B5" s="19" t="n">
        <f aca="false">MAX(0,Paramètres!$B$16-(Paramètres!$B$16-Paramètres!$B$4)/A5)</f>
        <v>1.9047619047619</v>
      </c>
      <c r="C5" s="20" t="n">
        <f aca="false">100*B5*(1+Paramètres!$B$9)+Paramètres!$B$11</f>
        <v>624.238095238095</v>
      </c>
    </row>
    <row r="6" customFormat="false" ht="15" hidden="false" customHeight="false" outlineLevel="0" collapsed="false">
      <c r="A6" s="16" t="n">
        <v>0.45</v>
      </c>
      <c r="B6" s="21" t="n">
        <f aca="false">MAX(0,Paramètres!$B$16-(Paramètres!$B$16-Paramètres!$B$4)/A6)</f>
        <v>11.1111111111111</v>
      </c>
      <c r="C6" s="22" t="n">
        <f aca="false">100*B6*(1+Paramètres!$B$9)+Paramètres!$B$11</f>
        <v>1567.88888888889</v>
      </c>
    </row>
    <row r="7" customFormat="false" ht="15" hidden="false" customHeight="false" outlineLevel="0" collapsed="false">
      <c r="A7" s="6" t="n">
        <v>0.5</v>
      </c>
      <c r="B7" s="19" t="n">
        <f aca="false">MAX(0,Paramètres!$B$16-(Paramètres!$B$16-Paramètres!$B$4)/A7)</f>
        <v>24</v>
      </c>
      <c r="C7" s="20" t="n">
        <f aca="false">100*B7*(1+Paramètres!$B$9)+Paramètres!$B$11</f>
        <v>2889</v>
      </c>
    </row>
    <row r="8" customFormat="false" ht="15" hidden="false" customHeight="false" outlineLevel="0" collapsed="false">
      <c r="A8" s="16" t="n">
        <v>0.55</v>
      </c>
      <c r="B8" s="21" t="n">
        <f aca="false">MAX(0,Paramètres!$B$16-(Paramètres!$B$16-Paramètres!$B$4)/A8)</f>
        <v>34.5454545454546</v>
      </c>
      <c r="C8" s="22" t="n">
        <f aca="false">100*B8*(1+Paramètres!$B$9)+Paramètres!$B$11</f>
        <v>3969.90909090909</v>
      </c>
    </row>
    <row r="9" customFormat="false" ht="15" hidden="false" customHeight="false" outlineLevel="0" collapsed="false">
      <c r="A9" s="6" t="n">
        <v>0.6</v>
      </c>
      <c r="B9" s="19" t="n">
        <f aca="false">MAX(0,Paramètres!$B$16-(Paramètres!$B$16-Paramètres!$B$4)/A9)</f>
        <v>43.3333333333333</v>
      </c>
      <c r="C9" s="20" t="n">
        <f aca="false">100*B9*(1+Paramètres!$B$9)+Paramètres!$B$11</f>
        <v>4870.66666666667</v>
      </c>
    </row>
    <row r="10" customFormat="false" ht="15" hidden="false" customHeight="false" outlineLevel="0" collapsed="false">
      <c r="A10" s="16" t="n">
        <v>0.65</v>
      </c>
      <c r="B10" s="21" t="n">
        <f aca="false">MAX(0,Paramètres!$B$16-(Paramètres!$B$16-Paramètres!$B$4)/A10)</f>
        <v>50.7692307692308</v>
      </c>
      <c r="C10" s="22" t="n">
        <f aca="false">100*B10*(1+Paramètres!$B$9)+Paramètres!$B$11</f>
        <v>5632.84615384615</v>
      </c>
    </row>
    <row r="11" customFormat="false" ht="15" hidden="false" customHeight="false" outlineLevel="0" collapsed="false">
      <c r="A11" s="6" t="n">
        <v>0.7</v>
      </c>
      <c r="B11" s="19" t="n">
        <f aca="false">MAX(0,Paramètres!$B$16-(Paramètres!$B$16-Paramètres!$B$4)/A11)</f>
        <v>57.1428571428571</v>
      </c>
      <c r="C11" s="20" t="n">
        <f aca="false">100*B11*(1+Paramètres!$B$9)+Paramètres!$B$11</f>
        <v>6286.14285714286</v>
      </c>
    </row>
    <row r="12" customFormat="false" ht="15" hidden="false" customHeight="false" outlineLevel="0" collapsed="false">
      <c r="A12" s="16" t="n">
        <v>0.75</v>
      </c>
      <c r="B12" s="21" t="n">
        <f aca="false">MAX(0,Paramètres!$B$16-(Paramètres!$B$16-Paramètres!$B$4)/A12)</f>
        <v>62.6666666666667</v>
      </c>
      <c r="C12" s="22" t="n">
        <f aca="false">100*B12*(1+Paramètres!$B$9)+Paramètres!$B$11</f>
        <v>6852.33333333333</v>
      </c>
    </row>
    <row r="13" customFormat="false" ht="15" hidden="false" customHeight="false" outlineLevel="0" collapsed="false">
      <c r="A13" s="6" t="n">
        <v>0.8</v>
      </c>
      <c r="B13" s="19" t="n">
        <f aca="false">MAX(0,Paramètres!$B$16-(Paramètres!$B$16-Paramètres!$B$4)/A13)</f>
        <v>67.5</v>
      </c>
      <c r="C13" s="20" t="n">
        <f aca="false">100*B13*(1+Paramètres!$B$9)+Paramètres!$B$11</f>
        <v>7347.75</v>
      </c>
    </row>
    <row r="14" customFormat="false" ht="15" hidden="false" customHeight="false" outlineLevel="0" collapsed="false">
      <c r="A14" s="16" t="n">
        <v>0.85</v>
      </c>
      <c r="B14" s="21" t="n">
        <f aca="false">MAX(0,Paramètres!$B$16-(Paramètres!$B$16-Paramètres!$B$4)/A14)</f>
        <v>71.7647058823529</v>
      </c>
      <c r="C14" s="22" t="n">
        <f aca="false">100*B14*(1+Paramètres!$B$9)+Paramètres!$B$11</f>
        <v>7784.88235294118</v>
      </c>
    </row>
    <row r="15" customFormat="false" ht="15" hidden="false" customHeight="false" outlineLevel="0" collapsed="false">
      <c r="A15" s="6" t="n">
        <v>0.9</v>
      </c>
      <c r="B15" s="19" t="n">
        <f aca="false">MAX(0,Paramètres!$B$16-(Paramètres!$B$16-Paramètres!$B$4)/A15)</f>
        <v>75.5555555555556</v>
      </c>
      <c r="C15" s="20" t="n">
        <f aca="false">100*B15*(1+Paramètres!$B$9)+Paramètres!$B$11</f>
        <v>8173.44444444444</v>
      </c>
    </row>
    <row r="16" customFormat="false" ht="15" hidden="false" customHeight="false" outlineLevel="0" collapsed="false">
      <c r="A16" s="16" t="n">
        <v>0.95</v>
      </c>
      <c r="B16" s="21" t="n">
        <f aca="false">MAX(0,Paramètres!$B$16-(Paramètres!$B$16-Paramètres!$B$4)/A16)</f>
        <v>78.9473684210526</v>
      </c>
      <c r="C16" s="22" t="n">
        <f aca="false">100*B16*(1+Paramètres!$B$9)+Paramètres!$B$11</f>
        <v>8521.10526315789</v>
      </c>
    </row>
    <row r="17" customFormat="false" ht="15" hidden="false" customHeight="false" outlineLevel="0" collapsed="false">
      <c r="A17" s="6" t="n">
        <v>1</v>
      </c>
      <c r="B17" s="19" t="n">
        <f aca="false">MAX(0,Paramètres!$B$16-(Paramètres!$B$16-Paramètres!$B$4)/A17)</f>
        <v>82</v>
      </c>
      <c r="C17" s="20" t="n">
        <f aca="false">100*B17*(1+Paramètres!$B$9)+Paramètres!$B$11</f>
        <v>8834</v>
      </c>
    </row>
    <row r="20" customFormat="false" ht="15" hidden="false" customHeight="false" outlineLevel="0" collapsed="false">
      <c r="A20" s="4" t="s">
        <v>80</v>
      </c>
    </row>
    <row r="21" customFormat="false" ht="15" hidden="false" customHeight="false" outlineLevel="0" collapsed="false">
      <c r="A21" s="2" t="s">
        <v>81</v>
      </c>
      <c r="B21" s="23" t="n">
        <f aca="false">MAX(0,Paramètres!B16-(Paramètres!B16-Paramètres!B4)/Paramètres!B23)</f>
        <v>24</v>
      </c>
    </row>
    <row r="23" customFormat="false" ht="35.05" hidden="false" customHeight="false" outlineLevel="0" collapsed="false">
      <c r="A23" s="14" t="s">
        <v>82</v>
      </c>
      <c r="B23" s="14" t="s">
        <v>83</v>
      </c>
      <c r="C23" s="14" t="s">
        <v>84</v>
      </c>
    </row>
    <row r="24" customFormat="false" ht="15" hidden="false" customHeight="false" outlineLevel="0" collapsed="false">
      <c r="A24" s="2" t="s">
        <v>85</v>
      </c>
      <c r="B24" s="24" t="n">
        <f aca="false">Paramètres!B4*Paramètres!B31/1000000000</f>
        <v>206.64</v>
      </c>
      <c r="C24" s="24" t="n">
        <f aca="false">(Paramètres!B16*(1-Paramètres!B23)+B21*Paramètres!B23)*Paramètres!B31/1000000000</f>
        <v>206.64</v>
      </c>
    </row>
    <row r="25" customFormat="false" ht="15" hidden="false" customHeight="false" outlineLevel="0" collapsed="false">
      <c r="A25" s="2" t="s">
        <v>86</v>
      </c>
      <c r="B25" s="24" t="n">
        <f aca="false">(Paramètres!B16-Paramètres!B4)*Paramètres!B31/1000000000</f>
        <v>146.16</v>
      </c>
      <c r="C25" s="24" t="n">
        <f aca="false">(Paramètres!B16-B21)*Paramètres!B23*Paramètres!B31/1000000000</f>
        <v>146.16</v>
      </c>
    </row>
    <row r="26" customFormat="false" ht="15" hidden="false" customHeight="false" outlineLevel="0" collapsed="false">
      <c r="A26" s="2" t="s">
        <v>87</v>
      </c>
      <c r="B26" s="24" t="n">
        <f aca="false">B24+B25</f>
        <v>352.8</v>
      </c>
      <c r="C26" s="24" t="n">
        <f aca="false">C24+C25</f>
        <v>352.8</v>
      </c>
    </row>
    <row r="28" customFormat="false" ht="15" hidden="false" customHeight="false" outlineLevel="0" collapsed="false">
      <c r="A28" s="3" t="s">
        <v>88</v>
      </c>
    </row>
    <row r="29" customFormat="false" ht="15" hidden="false" customHeight="false" outlineLevel="0" collapsed="false">
      <c r="A29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2" t="s">
        <v>91</v>
      </c>
      <c r="B3" s="19" t="n">
        <f aca="false">Paramètres!B25-Paramètres!B24*Paramètres!B26</f>
        <v>85.5</v>
      </c>
    </row>
    <row r="4" customFormat="false" ht="15" hidden="false" customHeight="false" outlineLevel="0" collapsed="false">
      <c r="A4" s="2" t="s">
        <v>92</v>
      </c>
      <c r="B4" s="19" t="n">
        <f aca="false">Paramètres!B25+(1-Paramètres!B24)*Paramètres!B26</f>
        <v>155.5</v>
      </c>
    </row>
    <row r="5" customFormat="false" ht="15" hidden="false" customHeight="false" outlineLevel="0" collapsed="false">
      <c r="A5" s="2" t="s">
        <v>93</v>
      </c>
      <c r="B5" s="19" t="n">
        <f aca="false">Paramètres!B24*B4+(1-Paramètres!B24)*B3</f>
        <v>110</v>
      </c>
    </row>
    <row r="6" customFormat="false" ht="15" hidden="false" customHeight="false" outlineLevel="0" collapsed="false">
      <c r="A6" s="3" t="s">
        <v>94</v>
      </c>
    </row>
    <row r="8" customFormat="false" ht="15" hidden="false" customHeight="false" outlineLevel="0" collapsed="false">
      <c r="A8" s="4" t="s">
        <v>95</v>
      </c>
    </row>
    <row r="9" customFormat="false" ht="23.85" hidden="false" customHeight="false" outlineLevel="0" collapsed="false">
      <c r="A9" s="14" t="s">
        <v>96</v>
      </c>
      <c r="B9" s="14" t="s">
        <v>97</v>
      </c>
      <c r="C9" s="14" t="s">
        <v>98</v>
      </c>
    </row>
    <row r="10" customFormat="false" ht="15" hidden="false" customHeight="false" outlineLevel="0" collapsed="false">
      <c r="A10" s="5" t="n">
        <v>0</v>
      </c>
      <c r="B10" s="20" t="n">
        <f aca="false">A10*Paramètres!$B$26</f>
        <v>0</v>
      </c>
      <c r="C10" s="20" t="n">
        <f aca="false">A10*(Paramètres!$B$17-Paramètres!$B$18)</f>
        <v>0</v>
      </c>
    </row>
    <row r="11" customFormat="false" ht="15" hidden="false" customHeight="false" outlineLevel="0" collapsed="false">
      <c r="A11" s="25" t="n">
        <v>5</v>
      </c>
      <c r="B11" s="22" t="n">
        <f aca="false">A11*Paramètres!$B$26</f>
        <v>350</v>
      </c>
      <c r="C11" s="22" t="n">
        <f aca="false">A11*(Paramètres!$B$17-Paramètres!$B$18)</f>
        <v>350</v>
      </c>
    </row>
    <row r="12" customFormat="false" ht="15" hidden="false" customHeight="false" outlineLevel="0" collapsed="false">
      <c r="A12" s="5" t="n">
        <v>10</v>
      </c>
      <c r="B12" s="20" t="n">
        <f aca="false">A12*Paramètres!$B$26</f>
        <v>700</v>
      </c>
      <c r="C12" s="20" t="n">
        <f aca="false">A12*(Paramètres!$B$17-Paramètres!$B$18)</f>
        <v>700</v>
      </c>
    </row>
    <row r="13" customFormat="false" ht="15" hidden="false" customHeight="false" outlineLevel="0" collapsed="false">
      <c r="A13" s="25" t="n">
        <v>15</v>
      </c>
      <c r="B13" s="22" t="n">
        <f aca="false">A13*Paramètres!$B$26</f>
        <v>1050</v>
      </c>
      <c r="C13" s="22" t="n">
        <f aca="false">A13*(Paramètres!$B$17-Paramètres!$B$18)</f>
        <v>1050</v>
      </c>
    </row>
    <row r="14" customFormat="false" ht="15" hidden="false" customHeight="false" outlineLevel="0" collapsed="false">
      <c r="A14" s="5" t="n">
        <v>20</v>
      </c>
      <c r="B14" s="20" t="n">
        <f aca="false">A14*Paramètres!$B$26</f>
        <v>1400</v>
      </c>
      <c r="C14" s="20" t="n">
        <f aca="false">A14*(Paramètres!$B$17-Paramètres!$B$18)</f>
        <v>1400</v>
      </c>
    </row>
    <row r="15" customFormat="false" ht="15" hidden="false" customHeight="false" outlineLevel="0" collapsed="false">
      <c r="A15" s="25" t="n">
        <v>25</v>
      </c>
      <c r="B15" s="22" t="n">
        <f aca="false">A15*Paramètres!$B$26</f>
        <v>1750</v>
      </c>
      <c r="C15" s="22" t="n">
        <f aca="false">A15*(Paramètres!$B$17-Paramètres!$B$18)</f>
        <v>1750</v>
      </c>
    </row>
    <row r="16" customFormat="false" ht="15" hidden="false" customHeight="false" outlineLevel="0" collapsed="false">
      <c r="A16" s="5" t="n">
        <v>30</v>
      </c>
      <c r="B16" s="20" t="n">
        <f aca="false">A16*Paramètres!$B$26</f>
        <v>2100</v>
      </c>
      <c r="C16" s="20" t="n">
        <f aca="false">A16*(Paramètres!$B$17-Paramètres!$B$18)</f>
        <v>2100</v>
      </c>
    </row>
    <row r="17" customFormat="false" ht="15" hidden="false" customHeight="false" outlineLevel="0" collapsed="false">
      <c r="A17" s="25" t="n">
        <v>35</v>
      </c>
      <c r="B17" s="22" t="n">
        <f aca="false">A17*Paramètres!$B$26</f>
        <v>2450</v>
      </c>
      <c r="C17" s="22" t="n">
        <f aca="false">A17*(Paramètres!$B$17-Paramètres!$B$18)</f>
        <v>2450</v>
      </c>
    </row>
    <row r="18" customFormat="false" ht="15" hidden="false" customHeight="false" outlineLevel="0" collapsed="false">
      <c r="A18" s="5" t="n">
        <v>40</v>
      </c>
      <c r="B18" s="20" t="n">
        <f aca="false">A18*Paramètres!$B$26</f>
        <v>2800</v>
      </c>
      <c r="C18" s="20" t="n">
        <f aca="false">A18*(Paramètres!$B$17-Paramètres!$B$18)</f>
        <v>2800</v>
      </c>
    </row>
    <row r="19" customFormat="false" ht="15" hidden="false" customHeight="false" outlineLevel="0" collapsed="false">
      <c r="A19" s="25" t="n">
        <v>45</v>
      </c>
      <c r="B19" s="22" t="n">
        <f aca="false">A19*Paramètres!$B$26</f>
        <v>3150</v>
      </c>
      <c r="C19" s="22" t="n">
        <f aca="false">A19*(Paramètres!$B$17-Paramètres!$B$18)</f>
        <v>3150</v>
      </c>
    </row>
    <row r="20" customFormat="false" ht="15" hidden="false" customHeight="false" outlineLevel="0" collapsed="false">
      <c r="A20" s="5" t="n">
        <v>50</v>
      </c>
      <c r="B20" s="20" t="n">
        <f aca="false">A20*Paramètres!$B$26</f>
        <v>3500</v>
      </c>
      <c r="C20" s="20" t="n">
        <f aca="false">A20*(Paramètres!$B$17-Paramètres!$B$18)</f>
        <v>3500</v>
      </c>
    </row>
    <row r="22" customFormat="false" ht="15" hidden="false" customHeight="false" outlineLevel="0" collapsed="false">
      <c r="A22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100</v>
      </c>
    </row>
    <row r="3" customFormat="false" ht="23.85" hidden="false" customHeight="false" outlineLevel="0" collapsed="false">
      <c r="A3" s="14" t="s">
        <v>101</v>
      </c>
      <c r="B3" s="14" t="s">
        <v>102</v>
      </c>
      <c r="C3" s="14" t="s">
        <v>103</v>
      </c>
      <c r="D3" s="14" t="s">
        <v>104</v>
      </c>
    </row>
    <row r="4" customFormat="false" ht="15" hidden="false" customHeight="false" outlineLevel="0" collapsed="false">
      <c r="A4" s="26" t="s">
        <v>105</v>
      </c>
      <c r="B4" s="27" t="s">
        <v>106</v>
      </c>
      <c r="C4" s="28" t="n">
        <f aca="false">A_Arbitrage!C13</f>
        <v>10.053405</v>
      </c>
      <c r="D4" s="27" t="s">
        <v>107</v>
      </c>
    </row>
    <row r="5" customFormat="false" ht="15" hidden="false" customHeight="false" outlineLevel="0" collapsed="false">
      <c r="A5" s="26" t="s">
        <v>108</v>
      </c>
      <c r="B5" s="27" t="s">
        <v>109</v>
      </c>
      <c r="C5" s="28" t="n">
        <f aca="false">-A_Arbitrage!B3*(Paramètres!B29-1)*Paramètres!B28*12/1000000000</f>
        <v>-20.10681</v>
      </c>
      <c r="D5" s="27" t="s">
        <v>110</v>
      </c>
    </row>
    <row r="6" customFormat="false" ht="15" hidden="false" customHeight="false" outlineLevel="0" collapsed="false">
      <c r="A6" s="26" t="s">
        <v>111</v>
      </c>
      <c r="B6" s="27" t="s">
        <v>112</v>
      </c>
      <c r="C6" s="28" t="n">
        <f aca="false">C_Ciblage!B25-C_Ciblage!C25</f>
        <v>0</v>
      </c>
      <c r="D6" s="27" t="s">
        <v>113</v>
      </c>
    </row>
    <row r="7" customFormat="false" ht="15" hidden="false" customHeight="false" outlineLevel="0" collapsed="false">
      <c r="A7" s="26" t="s">
        <v>114</v>
      </c>
      <c r="B7" s="27" t="s">
        <v>115</v>
      </c>
      <c r="C7" s="28" t="n">
        <f aca="false">10*(Paramètres!B17-Paramètres!B18)*0.3*Paramètres!B21*12/1000000000</f>
        <v>5.04</v>
      </c>
      <c r="D7" s="27" t="s">
        <v>116</v>
      </c>
    </row>
    <row r="9" customFormat="false" ht="15" hidden="false" customHeight="false" outlineLevel="0" collapsed="false">
      <c r="A9" s="3" t="s">
        <v>117</v>
      </c>
    </row>
    <row r="10" customFormat="false" ht="15" hidden="false" customHeight="false" outlineLevel="0" collapsed="false">
      <c r="A10" s="3" t="s">
        <v>118</v>
      </c>
    </row>
    <row r="11" customFormat="false" ht="15" hidden="false" customHeight="false" outlineLevel="0" collapsed="false">
      <c r="A11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2026-09-02T18:40:57Z</dcterms:created>
  <dc:creator>openpyxl</dc:creator>
  <dc:description/>
  <dc:language>fr-FR</dc:language>
  <cp:lastModifiedBy/>
  <dcterms:modified xsi:type="dcterms:W3CDTF">2026-09-02T18:41:20Z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